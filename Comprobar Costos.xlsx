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$$$ Proyectos\2 MelAngie\"/>
    </mc:Choice>
  </mc:AlternateContent>
  <xr:revisionPtr revIDLastSave="0" documentId="13_ncr:1_{2F648BD9-DF45-4353-B7E0-FD3615245EE8}" xr6:coauthVersionLast="47" xr6:coauthVersionMax="47" xr10:uidLastSave="{00000000-0000-0000-0000-000000000000}"/>
  <bookViews>
    <workbookView xWindow="-103" yWindow="-103" windowWidth="16663" windowHeight="10492" activeTab="1" xr2:uid="{00000000-000D-0000-FFFF-FFFF00000000}"/>
  </bookViews>
  <sheets>
    <sheet name="Hoja1" sheetId="1" r:id="rId1"/>
    <sheet name="Hoja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7" i="2" l="1"/>
  <c r="Q16" i="2"/>
  <c r="Q15" i="2"/>
  <c r="Q14" i="2"/>
  <c r="Q13" i="2"/>
  <c r="Q12" i="2"/>
  <c r="Q11" i="2"/>
  <c r="Q10" i="2"/>
  <c r="Q9" i="2"/>
  <c r="Q7" i="2"/>
  <c r="Q6" i="2"/>
  <c r="Q5" i="2"/>
  <c r="Q4" i="2"/>
  <c r="Q8" i="2"/>
  <c r="M17" i="2"/>
  <c r="L17" i="2"/>
  <c r="K17" i="2"/>
  <c r="J17" i="2"/>
  <c r="I17" i="2"/>
  <c r="M16" i="2"/>
  <c r="L16" i="2"/>
  <c r="K16" i="2"/>
  <c r="J16" i="2"/>
  <c r="I16" i="2"/>
  <c r="M15" i="2"/>
  <c r="L15" i="2"/>
  <c r="K15" i="2"/>
  <c r="J15" i="2"/>
  <c r="I15" i="2"/>
  <c r="M14" i="2"/>
  <c r="L14" i="2"/>
  <c r="K14" i="2"/>
  <c r="J14" i="2"/>
  <c r="I14" i="2"/>
  <c r="M13" i="2"/>
  <c r="L13" i="2"/>
  <c r="K13" i="2"/>
  <c r="J13" i="2"/>
  <c r="I13" i="2"/>
  <c r="M12" i="2"/>
  <c r="L12" i="2"/>
  <c r="K12" i="2"/>
  <c r="J12" i="2"/>
  <c r="I12" i="2"/>
  <c r="M11" i="2"/>
  <c r="L11" i="2"/>
  <c r="K11" i="2"/>
  <c r="J11" i="2"/>
  <c r="I11" i="2"/>
  <c r="M10" i="2"/>
  <c r="L10" i="2"/>
  <c r="K10" i="2"/>
  <c r="J10" i="2"/>
  <c r="I10" i="2"/>
  <c r="M9" i="2"/>
  <c r="L9" i="2"/>
  <c r="K9" i="2"/>
  <c r="J9" i="2"/>
  <c r="I9" i="2"/>
  <c r="M8" i="2"/>
  <c r="L8" i="2"/>
  <c r="K8" i="2"/>
  <c r="J8" i="2"/>
  <c r="I8" i="2"/>
  <c r="M7" i="2"/>
  <c r="L7" i="2"/>
  <c r="K7" i="2"/>
  <c r="J7" i="2"/>
  <c r="I7" i="2"/>
  <c r="M6" i="2"/>
  <c r="L6" i="2"/>
  <c r="K6" i="2"/>
  <c r="J6" i="2"/>
  <c r="I6" i="2"/>
  <c r="M5" i="2"/>
  <c r="L5" i="2"/>
  <c r="K5" i="2"/>
  <c r="J5" i="2"/>
  <c r="I5" i="2"/>
  <c r="M4" i="2"/>
  <c r="L4" i="2"/>
  <c r="K4" i="2"/>
  <c r="J4" i="2"/>
  <c r="I4" i="2"/>
  <c r="Q7" i="1"/>
  <c r="Q4" i="1"/>
  <c r="M6" i="1"/>
  <c r="L6" i="1"/>
  <c r="Q6" i="1" s="1"/>
  <c r="K6" i="1"/>
  <c r="J6" i="1"/>
  <c r="I6" i="1"/>
  <c r="M5" i="1"/>
  <c r="L5" i="1"/>
  <c r="Q5" i="1" s="1"/>
  <c r="K5" i="1"/>
  <c r="J5" i="1"/>
  <c r="I5" i="1"/>
  <c r="M4" i="1"/>
  <c r="L4" i="1"/>
  <c r="K4" i="1"/>
  <c r="J4" i="1"/>
  <c r="I4" i="1"/>
  <c r="Q1" i="2" l="1"/>
  <c r="Q1" i="1"/>
</calcChain>
</file>

<file path=xl/sharedStrings.xml><?xml version="1.0" encoding="utf-8"?>
<sst xmlns="http://schemas.openxmlformats.org/spreadsheetml/2006/main" count="70" uniqueCount="27">
  <si>
    <t>ingrediente</t>
  </si>
  <si>
    <t>Litros</t>
  </si>
  <si>
    <t>Libras</t>
  </si>
  <si>
    <t>Kilogramos</t>
  </si>
  <si>
    <t>Gramos</t>
  </si>
  <si>
    <t>Harina</t>
  </si>
  <si>
    <t>Mililitros</t>
  </si>
  <si>
    <t>Onzas</t>
  </si>
  <si>
    <t>Onzas fl</t>
  </si>
  <si>
    <t>tazas</t>
  </si>
  <si>
    <t>Azucar</t>
  </si>
  <si>
    <t>cucharadas</t>
  </si>
  <si>
    <t>Peso por taza (gr)</t>
  </si>
  <si>
    <t>Leche</t>
  </si>
  <si>
    <t>Canela</t>
  </si>
  <si>
    <t>lb</t>
  </si>
  <si>
    <t>gr</t>
  </si>
  <si>
    <t>mg</t>
  </si>
  <si>
    <t>kg</t>
  </si>
  <si>
    <t>onz</t>
  </si>
  <si>
    <t>ml</t>
  </si>
  <si>
    <t>l</t>
  </si>
  <si>
    <t>on fl</t>
  </si>
  <si>
    <t>Receta</t>
  </si>
  <si>
    <t>Empaque</t>
  </si>
  <si>
    <t xml:space="preserve">Peso por cucharadas </t>
  </si>
  <si>
    <t>Miligram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</si>
</sst>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theme="8" tint="-0.249977111117893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133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4" fontId="2" fillId="5" borderId="0" xfId="0" applyNumberFormat="1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 wrapText="1"/>
    </xf>
    <xf numFmtId="1" fontId="2" fillId="4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2" fillId="3" borderId="0" xfId="0" applyNumberFormat="1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5" fontId="1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1" fontId="1" fillId="0" borderId="0" xfId="0" applyNumberFormat="1" applyFont="1"/>
    <xf numFmtId="164" fontId="1" fillId="0" borderId="0" xfId="0" applyNumberFormat="1" applyFont="1"/>
    <xf numFmtId="1" fontId="2" fillId="7" borderId="0" xfId="0" applyNumberFormat="1" applyFont="1" applyFill="1" applyAlignment="1">
      <alignment horizontal="center" vertical="center" wrapText="1"/>
    </xf>
    <xf numFmtId="164" fontId="2" fillId="7" borderId="0" xfId="0" applyNumberFormat="1" applyFont="1" applyFill="1" applyAlignment="1">
      <alignment horizontal="center" vertical="center" wrapText="1"/>
    </xf>
    <xf numFmtId="1" fontId="2" fillId="7" borderId="0" xfId="0" applyNumberFormat="1" applyFont="1" applyFill="1" applyAlignment="1">
      <alignment horizontal="center"/>
    </xf>
    <xf numFmtId="164" fontId="2" fillId="7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left" vertical="center"/>
    </xf>
    <xf numFmtId="1" fontId="3" fillId="6" borderId="0" xfId="0" applyNumberFormat="1" applyFont="1" applyFill="1" applyAlignment="1">
      <alignment horizontal="left"/>
    </xf>
    <xf numFmtId="0" fontId="1" fillId="8" borderId="0" xfId="0" applyFont="1" applyFill="1" applyAlignment="1">
      <alignment horizontal="left" vertical="center"/>
    </xf>
    <xf numFmtId="1" fontId="3" fillId="8" borderId="0" xfId="0" applyNumberFormat="1" applyFont="1" applyFill="1" applyAlignment="1">
      <alignment horizontal="left"/>
    </xf>
    <xf numFmtId="1" fontId="2" fillId="9" borderId="0" xfId="0" applyNumberFormat="1" applyFont="1" applyFill="1" applyAlignment="1">
      <alignment horizontal="center" vertical="center" wrapText="1"/>
    </xf>
    <xf numFmtId="1" fontId="2" fillId="9" borderId="0" xfId="0" applyNumberFormat="1" applyFont="1" applyFill="1" applyAlignment="1">
      <alignment horizontal="center"/>
    </xf>
    <xf numFmtId="1" fontId="4" fillId="0" borderId="0" xfId="0" applyNumberFormat="1" applyFont="1"/>
    <xf numFmtId="1" fontId="2" fillId="10" borderId="0" xfId="0" applyNumberFormat="1" applyFont="1" applyFill="1" applyAlignment="1">
      <alignment horizontal="center" vertical="center" wrapText="1"/>
    </xf>
    <xf numFmtId="1" fontId="2" fillId="10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 vertical="center" wrapText="1"/>
    </xf>
    <xf numFmtId="165" fontId="2" fillId="9" borderId="0" xfId="0" applyNumberFormat="1" applyFont="1" applyFill="1" applyAlignment="1">
      <alignment horizontal="center" vertical="center" wrapText="1"/>
    </xf>
    <xf numFmtId="4" fontId="2" fillId="10" borderId="0" xfId="0" applyNumberFormat="1" applyFont="1" applyFill="1" applyAlignment="1">
      <alignment horizontal="center" vertical="center" wrapText="1"/>
    </xf>
    <xf numFmtId="165" fontId="2" fillId="11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13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showGridLines="0" zoomScaleNormal="100" workbookViewId="0">
      <pane ySplit="3" topLeftCell="A4" activePane="bottomLeft" state="frozen"/>
      <selection pane="bottomLeft" activeCell="K7" sqref="K7"/>
    </sheetView>
  </sheetViews>
  <sheetFormatPr baseColWidth="10" defaultColWidth="9.23046875" defaultRowHeight="14.6" x14ac:dyDescent="0.4"/>
  <cols>
    <col min="1" max="1" width="12" style="14" customWidth="1"/>
    <col min="2" max="2" width="10.23046875" style="15" customWidth="1"/>
    <col min="3" max="3" width="6.15234375" style="16" customWidth="1"/>
    <col min="4" max="4" width="3.61328125" style="17" customWidth="1"/>
    <col min="5" max="5" width="7.4609375" style="18" customWidth="1"/>
    <col min="6" max="7" width="9.921875" style="19" customWidth="1"/>
    <col min="8" max="8" width="11.3828125" style="19" customWidth="1"/>
    <col min="9" max="10" width="9.921875" style="19" customWidth="1"/>
    <col min="11" max="13" width="9.921875" style="20" customWidth="1"/>
    <col min="14" max="15" width="10.69140625" style="19" customWidth="1"/>
    <col min="16" max="16" width="10.69140625" style="20" customWidth="1"/>
    <col min="17" max="17" width="8.07421875" style="15" customWidth="1"/>
    <col min="18" max="16384" width="9.23046875" style="14"/>
  </cols>
  <sheetData>
    <row r="1" spans="1:17" s="8" customFormat="1" ht="38.15" customHeight="1" x14ac:dyDescent="0.4">
      <c r="A1" s="1" t="s">
        <v>0</v>
      </c>
      <c r="B1" s="2" t="s">
        <v>24</v>
      </c>
      <c r="C1" s="2"/>
      <c r="D1" s="2"/>
      <c r="E1" s="3" t="s">
        <v>23</v>
      </c>
      <c r="F1" s="3"/>
      <c r="G1" s="4" t="s">
        <v>12</v>
      </c>
      <c r="H1" s="5" t="s">
        <v>25</v>
      </c>
      <c r="I1" s="6" t="s">
        <v>4</v>
      </c>
      <c r="J1" s="6" t="s">
        <v>26</v>
      </c>
      <c r="K1" s="7" t="s">
        <v>3</v>
      </c>
      <c r="L1" s="7" t="s">
        <v>2</v>
      </c>
      <c r="M1" s="7" t="s">
        <v>7</v>
      </c>
      <c r="N1" s="6" t="s">
        <v>6</v>
      </c>
      <c r="O1" s="6" t="s">
        <v>1</v>
      </c>
      <c r="P1" s="7" t="s">
        <v>8</v>
      </c>
      <c r="Q1" s="2">
        <f>SUM(Q4:Q7)</f>
        <v>3.2373939199999997</v>
      </c>
    </row>
    <row r="2" spans="1:17" s="8" customFormat="1" ht="14.6" customHeight="1" x14ac:dyDescent="0.4">
      <c r="A2" s="1"/>
      <c r="B2" s="2"/>
      <c r="C2" s="2"/>
      <c r="D2" s="2"/>
      <c r="E2" s="3"/>
      <c r="F2" s="3"/>
      <c r="G2" s="4" t="s">
        <v>16</v>
      </c>
      <c r="H2" s="5" t="s">
        <v>16</v>
      </c>
      <c r="I2" s="6" t="s">
        <v>16</v>
      </c>
      <c r="J2" s="6" t="s">
        <v>17</v>
      </c>
      <c r="K2" s="7" t="s">
        <v>18</v>
      </c>
      <c r="L2" s="7" t="s">
        <v>15</v>
      </c>
      <c r="M2" s="7" t="s">
        <v>19</v>
      </c>
      <c r="N2" s="6" t="s">
        <v>20</v>
      </c>
      <c r="O2" s="6" t="s">
        <v>21</v>
      </c>
      <c r="P2" s="7" t="s">
        <v>22</v>
      </c>
      <c r="Q2" s="2"/>
    </row>
    <row r="3" spans="1:17" s="13" customFormat="1" ht="14.6" customHeight="1" x14ac:dyDescent="0.4">
      <c r="A3" s="1"/>
      <c r="B3" s="2"/>
      <c r="C3" s="2"/>
      <c r="D3" s="2"/>
      <c r="E3" s="3"/>
      <c r="F3" s="3"/>
      <c r="G3" s="9"/>
      <c r="H3" s="10"/>
      <c r="I3" s="11">
        <v>1</v>
      </c>
      <c r="J3" s="11">
        <v>1000</v>
      </c>
      <c r="K3" s="12">
        <v>1E-3</v>
      </c>
      <c r="L3" s="12">
        <v>2.20462E-3</v>
      </c>
      <c r="M3" s="12">
        <v>3.5274E-2</v>
      </c>
      <c r="N3" s="11">
        <v>1</v>
      </c>
      <c r="O3" s="11">
        <v>1E-3</v>
      </c>
      <c r="P3" s="12">
        <v>3.51951E-2</v>
      </c>
      <c r="Q3" s="2"/>
    </row>
    <row r="4" spans="1:17" x14ac:dyDescent="0.4">
      <c r="A4" s="14" t="s">
        <v>5</v>
      </c>
      <c r="B4" s="15">
        <v>4</v>
      </c>
      <c r="C4" s="16">
        <v>3</v>
      </c>
      <c r="D4" s="17" t="s">
        <v>15</v>
      </c>
      <c r="E4" s="18">
        <v>2</v>
      </c>
      <c r="F4" s="19" t="s">
        <v>9</v>
      </c>
      <c r="G4" s="19">
        <v>120</v>
      </c>
      <c r="I4" s="19">
        <f t="shared" ref="I4:M6" si="0">IF($H4&lt;&gt;"",$E4*$H4*I$3,$E4*$G4*I$3)</f>
        <v>240</v>
      </c>
      <c r="J4" s="19">
        <f t="shared" si="0"/>
        <v>240000</v>
      </c>
      <c r="K4" s="20">
        <f t="shared" si="0"/>
        <v>0.24</v>
      </c>
      <c r="L4" s="20">
        <f t="shared" si="0"/>
        <v>0.52910880000000005</v>
      </c>
      <c r="M4" s="20">
        <f t="shared" si="0"/>
        <v>8.4657599999999995</v>
      </c>
      <c r="Q4" s="15">
        <f>IF(F4&lt;&gt;D4,HLOOKUP(D4,$A$2:$P$30,3,0)*B4/C4,E4*B4/C4)</f>
        <v>0.70547840000000006</v>
      </c>
    </row>
    <row r="5" spans="1:17" x14ac:dyDescent="0.4">
      <c r="A5" s="14" t="s">
        <v>10</v>
      </c>
      <c r="B5" s="15">
        <v>8</v>
      </c>
      <c r="C5" s="16">
        <v>5</v>
      </c>
      <c r="D5" s="17" t="s">
        <v>15</v>
      </c>
      <c r="E5" s="18">
        <v>2</v>
      </c>
      <c r="F5" s="19" t="s">
        <v>9</v>
      </c>
      <c r="G5" s="19">
        <v>200</v>
      </c>
      <c r="I5" s="19">
        <f t="shared" si="0"/>
        <v>400</v>
      </c>
      <c r="J5" s="19">
        <f t="shared" si="0"/>
        <v>400000</v>
      </c>
      <c r="K5" s="20">
        <f t="shared" si="0"/>
        <v>0.4</v>
      </c>
      <c r="L5" s="20">
        <f t="shared" si="0"/>
        <v>0.88184799999999997</v>
      </c>
      <c r="M5" s="20">
        <f t="shared" si="0"/>
        <v>14.1096</v>
      </c>
      <c r="Q5" s="15">
        <f>IF(F5&lt;&gt;D5,HLOOKUP(D5,$A$2:$P$30,4,0)*B5/C5,E5*B5/C5)</f>
        <v>1.4109567999999999</v>
      </c>
    </row>
    <row r="6" spans="1:17" x14ac:dyDescent="0.4">
      <c r="A6" s="14" t="s">
        <v>14</v>
      </c>
      <c r="B6" s="15">
        <v>2</v>
      </c>
      <c r="C6" s="16">
        <v>0.5</v>
      </c>
      <c r="D6" s="17" t="s">
        <v>15</v>
      </c>
      <c r="E6" s="18">
        <v>1</v>
      </c>
      <c r="F6" s="19" t="s">
        <v>11</v>
      </c>
      <c r="H6" s="19">
        <v>14</v>
      </c>
      <c r="I6" s="19">
        <f t="shared" si="0"/>
        <v>14</v>
      </c>
      <c r="J6" s="19">
        <f t="shared" si="0"/>
        <v>14000</v>
      </c>
      <c r="K6" s="20">
        <f t="shared" si="0"/>
        <v>1.4E-2</v>
      </c>
      <c r="L6" s="20">
        <f t="shared" si="0"/>
        <v>3.0864679999999999E-2</v>
      </c>
      <c r="M6" s="20">
        <f t="shared" si="0"/>
        <v>0.493836</v>
      </c>
      <c r="Q6" s="15">
        <f>IF(F6&lt;&gt;D6,HLOOKUP(D6,$A$2:$P$30,5,0)*B6/C6,E6*B6/C6)</f>
        <v>0.12345871999999999</v>
      </c>
    </row>
    <row r="7" spans="1:17" x14ac:dyDescent="0.4">
      <c r="A7" s="14" t="s">
        <v>13</v>
      </c>
      <c r="B7" s="15">
        <v>3.99</v>
      </c>
      <c r="C7" s="16">
        <v>2</v>
      </c>
      <c r="D7" s="17" t="s">
        <v>21</v>
      </c>
      <c r="E7" s="18">
        <v>0.5</v>
      </c>
      <c r="F7" s="19" t="s">
        <v>21</v>
      </c>
      <c r="Q7" s="15">
        <f>IF(F7&lt;&gt;D7,HLOOKUP(D7,$A$2:$P$30,6,0)*B7/C7,E7*B7/C7)</f>
        <v>0.99750000000000005</v>
      </c>
    </row>
  </sheetData>
  <mergeCells count="4">
    <mergeCell ref="Q1:Q3"/>
    <mergeCell ref="B1:D3"/>
    <mergeCell ref="E1:F3"/>
    <mergeCell ref="A1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A8F8-4ABA-4C53-AFAF-8B88B359BA36}">
  <dimension ref="A1:R17"/>
  <sheetViews>
    <sheetView showGridLines="0" tabSelected="1" zoomScale="145" zoomScaleNormal="145" zoomScaleSheetLayoutView="100" workbookViewId="0">
      <pane ySplit="3" topLeftCell="A4" activePane="bottomLeft" state="frozen"/>
      <selection pane="bottomLeft" activeCell="E9" sqref="E9"/>
    </sheetView>
  </sheetViews>
  <sheetFormatPr baseColWidth="10" defaultColWidth="9.23046875" defaultRowHeight="14.6" x14ac:dyDescent="0.4"/>
  <cols>
    <col min="1" max="1" width="12" style="14" customWidth="1"/>
    <col min="2" max="2" width="10.23046875" style="15" customWidth="1"/>
    <col min="3" max="3" width="6.15234375" style="16" customWidth="1"/>
    <col min="4" max="4" width="3.61328125" style="27" customWidth="1"/>
    <col min="5" max="5" width="9.921875" style="19" customWidth="1"/>
    <col min="6" max="6" width="11.3828125" style="19" customWidth="1"/>
    <col min="7" max="7" width="7.4609375" style="18" customWidth="1"/>
    <col min="8" max="8" width="9.921875" style="28" customWidth="1"/>
    <col min="9" max="10" width="9.921875" style="19" hidden="1" customWidth="1"/>
    <col min="11" max="13" width="9.921875" style="20" hidden="1" customWidth="1"/>
    <col min="14" max="15" width="10.69140625" style="19" hidden="1" customWidth="1"/>
    <col min="16" max="16" width="10.69140625" style="20" hidden="1" customWidth="1"/>
    <col min="17" max="17" width="8.07421875" style="15" customWidth="1"/>
    <col min="18" max="16384" width="9.23046875" style="14"/>
  </cols>
  <sheetData>
    <row r="1" spans="1:17" s="8" customFormat="1" ht="38.15" customHeight="1" x14ac:dyDescent="0.4">
      <c r="A1" s="34" t="s">
        <v>0</v>
      </c>
      <c r="B1" s="35" t="s">
        <v>24</v>
      </c>
      <c r="C1" s="35"/>
      <c r="D1" s="35"/>
      <c r="E1" s="32" t="s">
        <v>12</v>
      </c>
      <c r="F1" s="29" t="s">
        <v>25</v>
      </c>
      <c r="G1" s="36" t="s">
        <v>23</v>
      </c>
      <c r="H1" s="36"/>
      <c r="I1" s="21" t="s">
        <v>4</v>
      </c>
      <c r="J1" s="21" t="s">
        <v>26</v>
      </c>
      <c r="K1" s="22" t="s">
        <v>3</v>
      </c>
      <c r="L1" s="22" t="s">
        <v>2</v>
      </c>
      <c r="M1" s="22" t="s">
        <v>7</v>
      </c>
      <c r="N1" s="21" t="s">
        <v>6</v>
      </c>
      <c r="O1" s="21" t="s">
        <v>1</v>
      </c>
      <c r="P1" s="22" t="s">
        <v>8</v>
      </c>
      <c r="Q1" s="37">
        <f>SUM(Q4:Q7)</f>
        <v>4.6659876800000006</v>
      </c>
    </row>
    <row r="2" spans="1:17" s="8" customFormat="1" ht="14.6" customHeight="1" x14ac:dyDescent="0.4">
      <c r="A2" s="34"/>
      <c r="B2" s="35"/>
      <c r="C2" s="35"/>
      <c r="D2" s="35"/>
      <c r="E2" s="32" t="s">
        <v>16</v>
      </c>
      <c r="F2" s="29" t="s">
        <v>16</v>
      </c>
      <c r="G2" s="36"/>
      <c r="H2" s="36"/>
      <c r="I2" s="21" t="s">
        <v>16</v>
      </c>
      <c r="J2" s="21" t="s">
        <v>17</v>
      </c>
      <c r="K2" s="22" t="s">
        <v>18</v>
      </c>
      <c r="L2" s="22" t="s">
        <v>15</v>
      </c>
      <c r="M2" s="22" t="s">
        <v>19</v>
      </c>
      <c r="N2" s="21" t="s">
        <v>20</v>
      </c>
      <c r="O2" s="21" t="s">
        <v>21</v>
      </c>
      <c r="P2" s="22" t="s">
        <v>22</v>
      </c>
      <c r="Q2" s="37"/>
    </row>
    <row r="3" spans="1:17" s="13" customFormat="1" ht="14.6" customHeight="1" x14ac:dyDescent="0.4">
      <c r="A3" s="34"/>
      <c r="B3" s="35"/>
      <c r="C3" s="35"/>
      <c r="D3" s="35"/>
      <c r="E3" s="33"/>
      <c r="F3" s="30"/>
      <c r="G3" s="36"/>
      <c r="H3" s="36"/>
      <c r="I3" s="23">
        <v>1</v>
      </c>
      <c r="J3" s="23">
        <v>1000</v>
      </c>
      <c r="K3" s="24">
        <v>1E-3</v>
      </c>
      <c r="L3" s="24">
        <v>2.20462E-3</v>
      </c>
      <c r="M3" s="24">
        <v>3.5274E-2</v>
      </c>
      <c r="N3" s="23">
        <v>1</v>
      </c>
      <c r="O3" s="23">
        <v>1E-3</v>
      </c>
      <c r="P3" s="24">
        <v>3.51951E-2</v>
      </c>
      <c r="Q3" s="37"/>
    </row>
    <row r="4" spans="1:17" x14ac:dyDescent="0.4">
      <c r="A4" s="14" t="s">
        <v>5</v>
      </c>
      <c r="B4" s="15">
        <v>4</v>
      </c>
      <c r="C4" s="16">
        <v>3</v>
      </c>
      <c r="D4" s="25" t="s">
        <v>15</v>
      </c>
      <c r="E4" s="19">
        <v>120</v>
      </c>
      <c r="G4" s="18">
        <v>2</v>
      </c>
      <c r="H4" s="26" t="s">
        <v>9</v>
      </c>
      <c r="I4" s="19">
        <f>IF($F4&lt;&gt;"",$G4*$F4*I$3,$G4*$E4*I$3)</f>
        <v>240</v>
      </c>
      <c r="J4" s="19">
        <f>IF($F4&lt;&gt;"",$G4*$F4*J$3,$G4*$E4*J$3)</f>
        <v>240000</v>
      </c>
      <c r="K4" s="20">
        <f>IF($F4&lt;&gt;"",$G4*$F4*K$3,$G4*$E4*K$3)</f>
        <v>0.24</v>
      </c>
      <c r="L4" s="20">
        <f>IF($F4&lt;&gt;"",$G4*$F4*L$3,$G4*$E4*L$3)</f>
        <v>0.52910880000000005</v>
      </c>
      <c r="M4" s="20">
        <f>IF($F4&lt;&gt;"",$G4*$F4*M$3,$G4*$E4*M$3)</f>
        <v>8.4657599999999995</v>
      </c>
      <c r="Q4" s="15">
        <f>IFERROR(IF(H4&lt;&gt;D4,HLOOKUP(D4,$A$2:$P$30,3,0)*B4/C4,G4*B4/C4),0)</f>
        <v>0.70547840000000006</v>
      </c>
    </row>
    <row r="5" spans="1:17" x14ac:dyDescent="0.4">
      <c r="A5" s="14" t="s">
        <v>10</v>
      </c>
      <c r="B5" s="15">
        <v>8</v>
      </c>
      <c r="C5" s="16">
        <v>5</v>
      </c>
      <c r="D5" s="25" t="s">
        <v>15</v>
      </c>
      <c r="E5" s="19">
        <v>200</v>
      </c>
      <c r="G5" s="18">
        <v>2</v>
      </c>
      <c r="H5" s="26" t="s">
        <v>9</v>
      </c>
      <c r="I5" s="19">
        <f>IF($F5&lt;&gt;"",$G5*$F5*I$3,$G5*$E5*I$3)</f>
        <v>400</v>
      </c>
      <c r="J5" s="19">
        <f>IF($F5&lt;&gt;"",$G5*$F5*J$3,$G5*$E5*J$3)</f>
        <v>400000</v>
      </c>
      <c r="K5" s="20">
        <f>IF($F5&lt;&gt;"",$G5*$F5*K$3,$G5*$E5*K$3)</f>
        <v>0.4</v>
      </c>
      <c r="L5" s="20">
        <f>IF($F5&lt;&gt;"",$G5*$F5*L$3,$G5*$E5*L$3)</f>
        <v>0.88184799999999997</v>
      </c>
      <c r="M5" s="20">
        <f>IF($F5&lt;&gt;"",$G5*$F5*M$3,$G5*$E5*M$3)</f>
        <v>14.1096</v>
      </c>
      <c r="Q5" s="15">
        <f>IFERROR(IF(H5&lt;&gt;D5,HLOOKUP(D5,$A$2:$P$30,3,0)*B5/C5,G5*B5/C5),0)</f>
        <v>0.84657408000000012</v>
      </c>
    </row>
    <row r="6" spans="1:17" x14ac:dyDescent="0.4">
      <c r="A6" s="14" t="s">
        <v>14</v>
      </c>
      <c r="B6" s="15">
        <v>2</v>
      </c>
      <c r="C6" s="16">
        <v>0.5</v>
      </c>
      <c r="D6" s="25" t="s">
        <v>15</v>
      </c>
      <c r="F6" s="31">
        <v>14</v>
      </c>
      <c r="G6" s="18">
        <v>1</v>
      </c>
      <c r="H6" s="26" t="s">
        <v>11</v>
      </c>
      <c r="I6" s="19">
        <f>IF($F6&lt;&gt;"",$G6*$F6*I$3,$G6*$E6*I$3)</f>
        <v>14</v>
      </c>
      <c r="J6" s="19">
        <f>IF($F6&lt;&gt;"",$G6*$F6*J$3,$G6*$E6*J$3)</f>
        <v>14000</v>
      </c>
      <c r="K6" s="20">
        <f>IF($F6&lt;&gt;"",$G6*$F6*K$3,$G6*$E6*K$3)</f>
        <v>1.4E-2</v>
      </c>
      <c r="L6" s="20">
        <f>IF($F6&lt;&gt;"",$G6*$F6*L$3,$G6*$E6*L$3)</f>
        <v>3.0864679999999999E-2</v>
      </c>
      <c r="M6" s="20">
        <f>IF($F6&lt;&gt;"",$G6*$F6*M$3,$G6*$E6*M$3)</f>
        <v>0.493836</v>
      </c>
      <c r="Q6" s="15">
        <f>IFERROR(IF(H6&lt;&gt;D6,HLOOKUP(D6,$A$2:$P$30,3,0)*B6/C6,G6*B6/C6),0)</f>
        <v>2.1164352000000002</v>
      </c>
    </row>
    <row r="7" spans="1:17" x14ac:dyDescent="0.4">
      <c r="A7" s="14" t="s">
        <v>13</v>
      </c>
      <c r="B7" s="15">
        <v>3.99</v>
      </c>
      <c r="C7" s="16">
        <v>2</v>
      </c>
      <c r="D7" s="25" t="s">
        <v>21</v>
      </c>
      <c r="G7" s="18">
        <v>0.5</v>
      </c>
      <c r="H7" s="26" t="s">
        <v>21</v>
      </c>
      <c r="I7" s="19">
        <f>IF($F7&lt;&gt;"",$G7*$F7*I$3,$G7*$E7*I$3)</f>
        <v>0</v>
      </c>
      <c r="J7" s="19">
        <f>IF($F7&lt;&gt;"",$G7*$F7*J$3,$G7*$E7*J$3)</f>
        <v>0</v>
      </c>
      <c r="K7" s="20">
        <f>IF($F7&lt;&gt;"",$G7*$F7*K$3,$G7*$E7*K$3)</f>
        <v>0</v>
      </c>
      <c r="L7" s="20">
        <f>IF($F7&lt;&gt;"",$G7*$F7*L$3,$G7*$E7*L$3)</f>
        <v>0</v>
      </c>
      <c r="M7" s="20">
        <f>IF($F7&lt;&gt;"",$G7*$F7*M$3,$G7*$E7*M$3)</f>
        <v>0</v>
      </c>
      <c r="Q7" s="15">
        <f>IFERROR(IF(H7&lt;&gt;D7,HLOOKUP(D7,$A$2:$P$30,3,0)*B7/C7,G7*B7/C7),0)</f>
        <v>0.99750000000000005</v>
      </c>
    </row>
    <row r="8" spans="1:17" x14ac:dyDescent="0.4">
      <c r="D8" s="25"/>
      <c r="H8" s="26"/>
      <c r="I8" s="19">
        <f>IF($F8&lt;&gt;"",$G8*$F8*I$3,$G8*$E8*I$3)</f>
        <v>0</v>
      </c>
      <c r="J8" s="19">
        <f>IF($F8&lt;&gt;"",$G8*$F8*J$3,$G8*$E8*J$3)</f>
        <v>0</v>
      </c>
      <c r="K8" s="20">
        <f>IF($F8&lt;&gt;"",$G8*$F8*K$3,$G8*$E8*K$3)</f>
        <v>0</v>
      </c>
      <c r="L8" s="20">
        <f>IF($F8&lt;&gt;"",$G8*$F8*L$3,$G8*$E8*L$3)</f>
        <v>0</v>
      </c>
      <c r="M8" s="20">
        <f>IF($F8&lt;&gt;"",$G8*$F8*M$3,$G8*$E8*M$3)</f>
        <v>0</v>
      </c>
      <c r="Q8" s="15">
        <f>IFERROR(IF(H8&lt;&gt;D8,HLOOKUP(D8,$A$2:$P$30,3,0)*B8/C8,G8*B8/C8),0)</f>
        <v>0</v>
      </c>
    </row>
    <row r="9" spans="1:17" x14ac:dyDescent="0.4">
      <c r="D9" s="25"/>
      <c r="H9" s="26"/>
      <c r="I9" s="19">
        <f>IF($F9&lt;&gt;"",$G9*$F9*I$3,$G9*$E9*I$3)</f>
        <v>0</v>
      </c>
      <c r="J9" s="19">
        <f>IF($F9&lt;&gt;"",$G9*$F9*J$3,$G9*$E9*J$3)</f>
        <v>0</v>
      </c>
      <c r="K9" s="20">
        <f>IF($F9&lt;&gt;"",$G9*$F9*K$3,$G9*$E9*K$3)</f>
        <v>0</v>
      </c>
      <c r="L9" s="20">
        <f>IF($F9&lt;&gt;"",$G9*$F9*L$3,$G9*$E9*L$3)</f>
        <v>0</v>
      </c>
      <c r="M9" s="20">
        <f>IF($F9&lt;&gt;"",$G9*$F9*M$3,$G9*$E9*M$3)</f>
        <v>0</v>
      </c>
      <c r="Q9" s="15">
        <f>IFERROR(IF(H9&lt;&gt;D9,HLOOKUP(D9,$A$2:$P$30,3,0)*B9/C9,G9*B9/C9),0)</f>
        <v>0</v>
      </c>
    </row>
    <row r="10" spans="1:17" x14ac:dyDescent="0.4">
      <c r="D10" s="25"/>
      <c r="H10" s="26"/>
      <c r="I10" s="19">
        <f>IF($F10&lt;&gt;"",$G10*$F10*I$3,$G10*$E10*I$3)</f>
        <v>0</v>
      </c>
      <c r="J10" s="19">
        <f>IF($F10&lt;&gt;"",$G10*$F10*J$3,$G10*$E10*J$3)</f>
        <v>0</v>
      </c>
      <c r="K10" s="20">
        <f>IF($F10&lt;&gt;"",$G10*$F10*K$3,$G10*$E10*K$3)</f>
        <v>0</v>
      </c>
      <c r="L10" s="20">
        <f>IF($F10&lt;&gt;"",$G10*$F10*L$3,$G10*$E10*L$3)</f>
        <v>0</v>
      </c>
      <c r="M10" s="20">
        <f>IF($F10&lt;&gt;"",$G10*$F10*M$3,$G10*$E10*M$3)</f>
        <v>0</v>
      </c>
      <c r="Q10" s="15">
        <f>IFERROR(IF(H10&lt;&gt;D10,HLOOKUP(D10,$A$2:$P$30,3,0)*B10/C10,G10*B10/C10),0)</f>
        <v>0</v>
      </c>
    </row>
    <row r="11" spans="1:17" x14ac:dyDescent="0.4">
      <c r="D11" s="25"/>
      <c r="H11" s="26"/>
      <c r="I11" s="19">
        <f>IF($F11&lt;&gt;"",$G11*$F11*I$3,$G11*$E11*I$3)</f>
        <v>0</v>
      </c>
      <c r="J11" s="19">
        <f>IF($F11&lt;&gt;"",$G11*$F11*J$3,$G11*$E11*J$3)</f>
        <v>0</v>
      </c>
      <c r="K11" s="20">
        <f>IF($F11&lt;&gt;"",$G11*$F11*K$3,$G11*$E11*K$3)</f>
        <v>0</v>
      </c>
      <c r="L11" s="20">
        <f>IF($F11&lt;&gt;"",$G11*$F11*L$3,$G11*$E11*L$3)</f>
        <v>0</v>
      </c>
      <c r="M11" s="20">
        <f>IF($F11&lt;&gt;"",$G11*$F11*M$3,$G11*$E11*M$3)</f>
        <v>0</v>
      </c>
      <c r="Q11" s="15">
        <f>IFERROR(IF(H11&lt;&gt;D11,HLOOKUP(D11,$A$2:$P$30,3,0)*B11/C11,G11*B11/C11),0)</f>
        <v>0</v>
      </c>
    </row>
    <row r="12" spans="1:17" x14ac:dyDescent="0.4">
      <c r="D12" s="25"/>
      <c r="H12" s="26"/>
      <c r="I12" s="19">
        <f>IF($F12&lt;&gt;"",$G12*$F12*I$3,$G12*$E12*I$3)</f>
        <v>0</v>
      </c>
      <c r="J12" s="19">
        <f>IF($F12&lt;&gt;"",$G12*$F12*J$3,$G12*$E12*J$3)</f>
        <v>0</v>
      </c>
      <c r="K12" s="20">
        <f>IF($F12&lt;&gt;"",$G12*$F12*K$3,$G12*$E12*K$3)</f>
        <v>0</v>
      </c>
      <c r="L12" s="20">
        <f>IF($F12&lt;&gt;"",$G12*$F12*L$3,$G12*$E12*L$3)</f>
        <v>0</v>
      </c>
      <c r="M12" s="20">
        <f>IF($F12&lt;&gt;"",$G12*$F12*M$3,$G12*$E12*M$3)</f>
        <v>0</v>
      </c>
      <c r="Q12" s="15">
        <f>IFERROR(IF(H12&lt;&gt;D12,HLOOKUP(D12,$A$2:$P$30,3,0)*B12/C12,G12*B12/C12),0)</f>
        <v>0</v>
      </c>
    </row>
    <row r="13" spans="1:17" x14ac:dyDescent="0.4">
      <c r="D13" s="25"/>
      <c r="H13" s="26"/>
      <c r="I13" s="19">
        <f>IF($F13&lt;&gt;"",$G13*$F13*I$3,$G13*$E13*I$3)</f>
        <v>0</v>
      </c>
      <c r="J13" s="19">
        <f>IF($F13&lt;&gt;"",$G13*$F13*J$3,$G13*$E13*J$3)</f>
        <v>0</v>
      </c>
      <c r="K13" s="20">
        <f>IF($F13&lt;&gt;"",$G13*$F13*K$3,$G13*$E13*K$3)</f>
        <v>0</v>
      </c>
      <c r="L13" s="20">
        <f>IF($F13&lt;&gt;"",$G13*$F13*L$3,$G13*$E13*L$3)</f>
        <v>0</v>
      </c>
      <c r="M13" s="20">
        <f>IF($F13&lt;&gt;"",$G13*$F13*M$3,$G13*$E13*M$3)</f>
        <v>0</v>
      </c>
      <c r="Q13" s="15">
        <f>IFERROR(IF(H13&lt;&gt;D13,HLOOKUP(D13,$A$2:$P$30,3,0)*B13/C13,G13*B13/C13),0)</f>
        <v>0</v>
      </c>
    </row>
    <row r="14" spans="1:17" x14ac:dyDescent="0.4">
      <c r="D14" s="25"/>
      <c r="H14" s="26"/>
      <c r="I14" s="19">
        <f>IF($F14&lt;&gt;"",$G14*$F14*I$3,$G14*$E14*I$3)</f>
        <v>0</v>
      </c>
      <c r="J14" s="19">
        <f>IF($F14&lt;&gt;"",$G14*$F14*J$3,$G14*$E14*J$3)</f>
        <v>0</v>
      </c>
      <c r="K14" s="20">
        <f>IF($F14&lt;&gt;"",$G14*$F14*K$3,$G14*$E14*K$3)</f>
        <v>0</v>
      </c>
      <c r="L14" s="20">
        <f>IF($F14&lt;&gt;"",$G14*$F14*L$3,$G14*$E14*L$3)</f>
        <v>0</v>
      </c>
      <c r="M14" s="20">
        <f>IF($F14&lt;&gt;"",$G14*$F14*M$3,$G14*$E14*M$3)</f>
        <v>0</v>
      </c>
      <c r="Q14" s="15">
        <f>IFERROR(IF(H14&lt;&gt;D14,HLOOKUP(D14,$A$2:$P$30,3,0)*B14/C14,G14*B14/C14),0)</f>
        <v>0</v>
      </c>
    </row>
    <row r="15" spans="1:17" x14ac:dyDescent="0.4">
      <c r="D15" s="25"/>
      <c r="H15" s="26"/>
      <c r="I15" s="19">
        <f>IF($F15&lt;&gt;"",$G15*$F15*I$3,$G15*$E15*I$3)</f>
        <v>0</v>
      </c>
      <c r="J15" s="19">
        <f>IF($F15&lt;&gt;"",$G15*$F15*J$3,$G15*$E15*J$3)</f>
        <v>0</v>
      </c>
      <c r="K15" s="20">
        <f>IF($F15&lt;&gt;"",$G15*$F15*K$3,$G15*$E15*K$3)</f>
        <v>0</v>
      </c>
      <c r="L15" s="20">
        <f>IF($F15&lt;&gt;"",$G15*$F15*L$3,$G15*$E15*L$3)</f>
        <v>0</v>
      </c>
      <c r="M15" s="20">
        <f>IF($F15&lt;&gt;"",$G15*$F15*M$3,$G15*$E15*M$3)</f>
        <v>0</v>
      </c>
      <c r="Q15" s="15">
        <f>IFERROR(IF(H15&lt;&gt;D15,HLOOKUP(D15,$A$2:$P$30,3,0)*B15/C15,G15*B15/C15),0)</f>
        <v>0</v>
      </c>
    </row>
    <row r="16" spans="1:17" x14ac:dyDescent="0.4">
      <c r="D16" s="25"/>
      <c r="H16" s="26"/>
      <c r="I16" s="19">
        <f>IF($F16&lt;&gt;"",$G16*$F16*I$3,$G16*$E16*I$3)</f>
        <v>0</v>
      </c>
      <c r="J16" s="19">
        <f>IF($F16&lt;&gt;"",$G16*$F16*J$3,$G16*$E16*J$3)</f>
        <v>0</v>
      </c>
      <c r="K16" s="20">
        <f>IF($F16&lt;&gt;"",$G16*$F16*K$3,$G16*$E16*K$3)</f>
        <v>0</v>
      </c>
      <c r="L16" s="20">
        <f>IF($F16&lt;&gt;"",$G16*$F16*L$3,$G16*$E16*L$3)</f>
        <v>0</v>
      </c>
      <c r="M16" s="20">
        <f>IF($F16&lt;&gt;"",$G16*$F16*M$3,$G16*$E16*M$3)</f>
        <v>0</v>
      </c>
      <c r="Q16" s="15">
        <f>IFERROR(IF(H16&lt;&gt;D16,HLOOKUP(D16,$A$2:$P$30,3,0)*B16/C16,G16*B16/C16),0)</f>
        <v>0</v>
      </c>
    </row>
    <row r="17" spans="4:17" x14ac:dyDescent="0.4">
      <c r="D17" s="25"/>
      <c r="H17" s="26"/>
      <c r="I17" s="19">
        <f>IF($F17&lt;&gt;"",$G17*$F17*I$3,$G17*$E17*I$3)</f>
        <v>0</v>
      </c>
      <c r="J17" s="19">
        <f>IF($F17&lt;&gt;"",$G17*$F17*J$3,$G17*$E17*J$3)</f>
        <v>0</v>
      </c>
      <c r="K17" s="20">
        <f>IF($F17&lt;&gt;"",$G17*$F17*K$3,$G17*$E17*K$3)</f>
        <v>0</v>
      </c>
      <c r="L17" s="20">
        <f>IF($F17&lt;&gt;"",$G17*$F17*L$3,$G17*$E17*L$3)</f>
        <v>0</v>
      </c>
      <c r="M17" s="20">
        <f>IF($F17&lt;&gt;"",$G17*$F17*M$3,$G17*$E17*M$3)</f>
        <v>0</v>
      </c>
      <c r="Q17" s="15">
        <f>IFERROR(IF(H17&lt;&gt;D17,HLOOKUP(D17,$A$2:$P$30,3,0)*B17/C17,G17*B17/C17),0)</f>
        <v>0</v>
      </c>
    </row>
  </sheetData>
  <mergeCells count="4">
    <mergeCell ref="A1:A3"/>
    <mergeCell ref="B1:D3"/>
    <mergeCell ref="G1:H3"/>
    <mergeCell ref="Q1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Alberto Matos</cp:lastModifiedBy>
  <dcterms:created xsi:type="dcterms:W3CDTF">2015-06-05T18:19:34Z</dcterms:created>
  <dcterms:modified xsi:type="dcterms:W3CDTF">2025-11-02T00:16:33Z</dcterms:modified>
</cp:coreProperties>
</file>